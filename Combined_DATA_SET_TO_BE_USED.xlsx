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tech project\My Mtech-Project\4th seminar\ML\Deenay sir simulation data\"/>
    </mc:Choice>
  </mc:AlternateContent>
  <xr:revisionPtr revIDLastSave="0" documentId="13_ncr:1_{F754937E-D05D-4331-B258-223B3EF7676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E5" i="1"/>
  <c r="I4" i="1"/>
  <c r="E4" i="1"/>
  <c r="I3" i="1"/>
  <c r="E3" i="1"/>
  <c r="I2" i="1"/>
  <c r="E2" i="1"/>
</calcChain>
</file>

<file path=xl/sharedStrings.xml><?xml version="1.0" encoding="utf-8"?>
<sst xmlns="http://schemas.openxmlformats.org/spreadsheetml/2006/main" count="157" uniqueCount="53">
  <si>
    <t>Sr. no</t>
  </si>
  <si>
    <t>sample no.</t>
  </si>
  <si>
    <t>Configuration</t>
  </si>
  <si>
    <t>Penetration Status</t>
  </si>
  <si>
    <t xml:space="preserve">Deflection </t>
  </si>
  <si>
    <t>Residual Velocity</t>
  </si>
  <si>
    <t xml:space="preserve">Impact </t>
  </si>
  <si>
    <t>Mass</t>
  </si>
  <si>
    <t>KE</t>
  </si>
  <si>
    <t>velocity</t>
  </si>
  <si>
    <t>1st glass layer</t>
  </si>
  <si>
    <t xml:space="preserve">1st pvb </t>
  </si>
  <si>
    <t>2nd glass</t>
  </si>
  <si>
    <t>2nd pvb</t>
  </si>
  <si>
    <t>3rd glass</t>
  </si>
  <si>
    <t>25.1Kg_25mps_3+1.52+3+1.52+3mmglass_Center</t>
  </si>
  <si>
    <t>No (Rebound)</t>
  </si>
  <si>
    <t>center</t>
  </si>
  <si>
    <t>26.1Kg_15mps_3+1.52+3+1.52+3mmglass_Center</t>
  </si>
  <si>
    <t>29.1Kg_25mps_3+1.52+3+1.52+3mmglass_Corner</t>
  </si>
  <si>
    <t>corner</t>
  </si>
  <si>
    <t>30.1Kg_15mps_3+1.52+3+1.52+3mmglass_Corner</t>
  </si>
  <si>
    <t>09.2Kg_25mps_3+1.52+3+1.52+3mmglass_Center</t>
  </si>
  <si>
    <t>Yes</t>
  </si>
  <si>
    <t>10.2Kg_15mps_3+1.52+3+1.52+3mmglass_Center</t>
  </si>
  <si>
    <t>13.2Kg_25mps_3+1.52+3+1.52+3mmglass_Corner</t>
  </si>
  <si>
    <t>14.2Kg_15mps_3+1.52+3+1.52+3mmglass_Corner</t>
  </si>
  <si>
    <t>27.3Kg_25mps_3+1.52+3+1.52+3mmglass_Center</t>
  </si>
  <si>
    <t>yes</t>
  </si>
  <si>
    <t>28.3Kg_15mps_3+1.52+3+1.52+3mmglass_Center</t>
  </si>
  <si>
    <t>31.3Kg_25mps_3+1.52+3+1.52+3mmglass_Corner</t>
  </si>
  <si>
    <t>32.3Kg_15mps_3+1.52+3+1.52+3mmglass_Corner</t>
  </si>
  <si>
    <t>11.4Kg_25mps_3+1.52+3+1.52+3mmglass_Center</t>
  </si>
  <si>
    <t>12.4Kg_15mps_3+1.52+3+1.52+3mmglass_Center</t>
  </si>
  <si>
    <t>15.4Kg_25mps_3+1.52+3+1.52+3mmglass_Corner</t>
  </si>
  <si>
    <t>16.4Kg_15mps_3+1.52+3+1.52+3mmglass_Corner</t>
  </si>
  <si>
    <t>17.1Kg_25mps_6+1.52+6mmglass_Center</t>
  </si>
  <si>
    <t>18.1Kg_15mps_6+1.52+6mmglass_Center</t>
  </si>
  <si>
    <t>21.1Kg_25mps_6+1.52+6mmglass_Corner</t>
  </si>
  <si>
    <t>22.1Kg_15mps_6+1.52+6mmglass_Corner</t>
  </si>
  <si>
    <t>01.2Kg_25mps_6+1.52+6mmglass_Center</t>
  </si>
  <si>
    <t>16.66 mps</t>
  </si>
  <si>
    <t>02.2Kg_15mps_6+1.52+6mmglass_Center</t>
  </si>
  <si>
    <t>05.2Kg_25mps_6+1.52+6mmglass_Corner</t>
  </si>
  <si>
    <t>06.2Kg_15mps_6+1.52+6mmglass_Corner</t>
  </si>
  <si>
    <t>19.3Kg_25mps_6+1.52+6mmglass_Center</t>
  </si>
  <si>
    <t>20.3Kg_15mps_6+1.52+6mmglass_Center</t>
  </si>
  <si>
    <t>23.3Kg_25mps_6+1.52+6mmglass_Corner</t>
  </si>
  <si>
    <t>24.3Kg_15mps_6+1.52+6mmglass_Corner</t>
  </si>
  <si>
    <t>03.4Kg_25mps_6+1.52+6mmglass_Center</t>
  </si>
  <si>
    <t>04.4Kg_15mps_6+1.52+6mmglass_Center</t>
  </si>
  <si>
    <t>07.4Kg_25mps_6+1.52+6mmglass_Corner</t>
  </si>
  <si>
    <t>08.4Kg_15mps_6+1.52+6mmglass_Corner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</si>
</sst>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5" borderId="1" xfId="0" applyFill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workbookViewId="0">
      <selection activeCell="P1" activeCellId="11" sqref="A1:A1048576 B1:B1048576 G1:G1048576 H1:H1048576 I1:I1048576 J1:J1048576 K1:K1048576 L1:L1048576 M1:M1048576 N1:N1048576 O1:O1048576 P1:P1048576"/>
    </sheetView>
  </sheetViews>
  <sheetFormatPr defaultRowHeight="14.4" x14ac:dyDescent="0.3"/>
  <cols>
    <col min="1" max="1" width="5.6640625" bestFit="1" customWidth="1"/>
    <col min="2" max="2" width="9.88671875" bestFit="1" customWidth="1"/>
    <col min="3" max="3" width="42.33203125" bestFit="1" customWidth="1"/>
    <col min="4" max="4" width="16.109375" bestFit="1" customWidth="1"/>
    <col min="5" max="5" width="9.88671875" bestFit="1" customWidth="1"/>
    <col min="6" max="6" width="14.88671875" bestFit="1" customWidth="1"/>
    <col min="7" max="7" width="7.109375" bestFit="1" customWidth="1"/>
    <col min="8" max="8" width="5.21875" bestFit="1" customWidth="1"/>
    <col min="9" max="9" width="6" bestFit="1" customWidth="1"/>
    <col min="10" max="10" width="7.33203125" bestFit="1" customWidth="1"/>
    <col min="11" max="11" width="16.109375" bestFit="1" customWidth="1"/>
    <col min="12" max="12" width="12.21875" bestFit="1" customWidth="1"/>
    <col min="13" max="13" width="7.21875" bestFit="1" customWidth="1"/>
    <col min="14" max="14" width="8.33203125" bestFit="1" customWidth="1"/>
    <col min="15" max="15" width="7.33203125" bestFit="1" customWidth="1"/>
    <col min="16" max="16" width="8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3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3">
      <c r="A2" s="3">
        <v>1</v>
      </c>
      <c r="B2" s="4">
        <v>25</v>
      </c>
      <c r="C2" s="5" t="s">
        <v>15</v>
      </c>
      <c r="D2" s="6" t="s">
        <v>16</v>
      </c>
      <c r="E2" s="4">
        <f>0.0274975*1000</f>
        <v>27.497500000000002</v>
      </c>
      <c r="F2" s="4">
        <v>-5.4112299999999998</v>
      </c>
      <c r="G2" t="s">
        <v>17</v>
      </c>
      <c r="H2">
        <v>1</v>
      </c>
      <c r="I2">
        <f>0.5*H2*J2^2</f>
        <v>312.5</v>
      </c>
      <c r="J2">
        <v>25</v>
      </c>
      <c r="K2">
        <v>0</v>
      </c>
      <c r="L2">
        <v>3</v>
      </c>
      <c r="M2">
        <v>1.52</v>
      </c>
      <c r="N2">
        <v>3</v>
      </c>
      <c r="O2">
        <v>1.52</v>
      </c>
      <c r="P2">
        <v>3</v>
      </c>
    </row>
    <row r="3" spans="1:16" x14ac:dyDescent="0.3">
      <c r="A3" s="3">
        <v>2</v>
      </c>
      <c r="B3" s="4">
        <v>26</v>
      </c>
      <c r="C3" s="5" t="s">
        <v>18</v>
      </c>
      <c r="D3" s="6" t="s">
        <v>16</v>
      </c>
      <c r="E3" s="4">
        <f>1000*0.0118553</f>
        <v>11.8553</v>
      </c>
      <c r="F3" s="4">
        <v>-4.3643999999999998</v>
      </c>
      <c r="G3" t="s">
        <v>17</v>
      </c>
      <c r="H3">
        <v>1</v>
      </c>
      <c r="I3">
        <f t="shared" ref="I3:I33" si="0">0.5*H3*J3^2</f>
        <v>112.5</v>
      </c>
      <c r="J3">
        <v>15</v>
      </c>
      <c r="K3">
        <v>0</v>
      </c>
      <c r="L3">
        <v>3</v>
      </c>
      <c r="M3">
        <v>1.52</v>
      </c>
      <c r="N3">
        <v>3</v>
      </c>
      <c r="O3">
        <v>1.52</v>
      </c>
      <c r="P3">
        <v>3</v>
      </c>
    </row>
    <row r="4" spans="1:16" x14ac:dyDescent="0.3">
      <c r="A4" s="3">
        <v>3</v>
      </c>
      <c r="B4" s="4">
        <v>29</v>
      </c>
      <c r="C4" s="5" t="s">
        <v>19</v>
      </c>
      <c r="D4" s="6" t="s">
        <v>16</v>
      </c>
      <c r="E4" s="4">
        <f>1000*0.0273146</f>
        <v>27.314600000000002</v>
      </c>
      <c r="F4" s="4">
        <v>-3.7918099999999999</v>
      </c>
      <c r="G4" t="s">
        <v>20</v>
      </c>
      <c r="H4">
        <v>1</v>
      </c>
      <c r="I4">
        <f t="shared" si="0"/>
        <v>312.5</v>
      </c>
      <c r="J4">
        <v>25</v>
      </c>
      <c r="K4">
        <v>0</v>
      </c>
      <c r="L4">
        <v>3</v>
      </c>
      <c r="M4">
        <v>1.52</v>
      </c>
      <c r="N4">
        <v>3</v>
      </c>
      <c r="O4">
        <v>1.52</v>
      </c>
      <c r="P4">
        <v>3</v>
      </c>
    </row>
    <row r="5" spans="1:16" x14ac:dyDescent="0.3">
      <c r="A5" s="3">
        <v>4</v>
      </c>
      <c r="B5" s="4">
        <v>30</v>
      </c>
      <c r="C5" s="5" t="s">
        <v>21</v>
      </c>
      <c r="D5" s="6" t="s">
        <v>16</v>
      </c>
      <c r="E5" s="4">
        <f>0.00939717*1000</f>
        <v>9.3971699999999991</v>
      </c>
      <c r="F5" s="4">
        <v>-3.42415</v>
      </c>
      <c r="G5" t="s">
        <v>20</v>
      </c>
      <c r="H5">
        <v>1</v>
      </c>
      <c r="I5">
        <f t="shared" si="0"/>
        <v>112.5</v>
      </c>
      <c r="J5">
        <v>15</v>
      </c>
      <c r="K5">
        <v>0</v>
      </c>
      <c r="L5">
        <v>3</v>
      </c>
      <c r="M5">
        <v>1.52</v>
      </c>
      <c r="N5">
        <v>3</v>
      </c>
      <c r="O5">
        <v>1.52</v>
      </c>
      <c r="P5">
        <v>3</v>
      </c>
    </row>
    <row r="6" spans="1:16" x14ac:dyDescent="0.3">
      <c r="A6" s="3">
        <v>5</v>
      </c>
      <c r="B6" s="4">
        <v>9</v>
      </c>
      <c r="C6" s="5" t="s">
        <v>22</v>
      </c>
      <c r="D6" s="7" t="s">
        <v>23</v>
      </c>
      <c r="E6" s="8">
        <v>0</v>
      </c>
      <c r="F6" s="8">
        <v>17.825600000000001</v>
      </c>
      <c r="G6" t="s">
        <v>17</v>
      </c>
      <c r="H6">
        <v>2</v>
      </c>
      <c r="I6">
        <f t="shared" si="0"/>
        <v>625</v>
      </c>
      <c r="J6">
        <v>25</v>
      </c>
      <c r="K6">
        <v>1</v>
      </c>
      <c r="L6">
        <v>3</v>
      </c>
      <c r="M6">
        <v>1.52</v>
      </c>
      <c r="N6">
        <v>3</v>
      </c>
      <c r="O6">
        <v>1.52</v>
      </c>
      <c r="P6">
        <v>3</v>
      </c>
    </row>
    <row r="7" spans="1:16" x14ac:dyDescent="0.3">
      <c r="A7" s="3">
        <v>6</v>
      </c>
      <c r="B7" s="4">
        <v>10</v>
      </c>
      <c r="C7" s="5" t="s">
        <v>24</v>
      </c>
      <c r="D7" s="6" t="s">
        <v>16</v>
      </c>
      <c r="E7" s="8">
        <v>26.2622</v>
      </c>
      <c r="F7" s="8">
        <v>-1.5277000000000001</v>
      </c>
      <c r="G7" t="s">
        <v>17</v>
      </c>
      <c r="H7">
        <v>2</v>
      </c>
      <c r="I7">
        <f t="shared" si="0"/>
        <v>225</v>
      </c>
      <c r="J7">
        <v>15</v>
      </c>
      <c r="K7">
        <v>0</v>
      </c>
      <c r="L7">
        <v>3</v>
      </c>
      <c r="M7">
        <v>1.52</v>
      </c>
      <c r="N7">
        <v>3</v>
      </c>
      <c r="O7">
        <v>1.52</v>
      </c>
      <c r="P7">
        <v>3</v>
      </c>
    </row>
    <row r="8" spans="1:16" x14ac:dyDescent="0.3">
      <c r="A8" s="3">
        <v>7</v>
      </c>
      <c r="B8" s="4">
        <v>13</v>
      </c>
      <c r="C8" s="5" t="s">
        <v>25</v>
      </c>
      <c r="D8" s="7" t="s">
        <v>23</v>
      </c>
      <c r="E8" s="8">
        <v>0</v>
      </c>
      <c r="F8" s="8">
        <v>6.6202100000000002</v>
      </c>
      <c r="G8" t="s">
        <v>20</v>
      </c>
      <c r="H8">
        <v>2</v>
      </c>
      <c r="I8">
        <f t="shared" si="0"/>
        <v>625</v>
      </c>
      <c r="J8">
        <v>25</v>
      </c>
      <c r="K8">
        <v>1</v>
      </c>
      <c r="L8">
        <v>3</v>
      </c>
      <c r="M8">
        <v>1.52</v>
      </c>
      <c r="N8">
        <v>3</v>
      </c>
      <c r="O8">
        <v>1.52</v>
      </c>
      <c r="P8">
        <v>3</v>
      </c>
    </row>
    <row r="9" spans="1:16" x14ac:dyDescent="0.3">
      <c r="A9" s="3">
        <v>8</v>
      </c>
      <c r="B9" s="4">
        <v>14</v>
      </c>
      <c r="C9" s="5" t="s">
        <v>26</v>
      </c>
      <c r="D9" s="6" t="s">
        <v>16</v>
      </c>
      <c r="E9" s="8">
        <v>21.997499999999999</v>
      </c>
      <c r="F9" s="8">
        <v>-2.98868</v>
      </c>
      <c r="G9" t="s">
        <v>20</v>
      </c>
      <c r="H9">
        <v>2</v>
      </c>
      <c r="I9">
        <f t="shared" si="0"/>
        <v>225</v>
      </c>
      <c r="J9">
        <v>15</v>
      </c>
      <c r="K9">
        <v>0</v>
      </c>
      <c r="L9">
        <v>3</v>
      </c>
      <c r="M9">
        <v>1.52</v>
      </c>
      <c r="N9">
        <v>3</v>
      </c>
      <c r="O9">
        <v>1.52</v>
      </c>
      <c r="P9">
        <v>3</v>
      </c>
    </row>
    <row r="10" spans="1:16" x14ac:dyDescent="0.3">
      <c r="A10" s="3">
        <v>9</v>
      </c>
      <c r="B10" s="4">
        <v>27</v>
      </c>
      <c r="C10" s="5" t="s">
        <v>27</v>
      </c>
      <c r="D10" s="7" t="s">
        <v>28</v>
      </c>
      <c r="E10" s="4">
        <v>0</v>
      </c>
      <c r="F10" s="4">
        <v>20.736000000000001</v>
      </c>
      <c r="G10" t="s">
        <v>17</v>
      </c>
      <c r="H10">
        <v>3</v>
      </c>
      <c r="I10">
        <f t="shared" si="0"/>
        <v>937.5</v>
      </c>
      <c r="J10">
        <v>25</v>
      </c>
      <c r="K10">
        <v>1</v>
      </c>
      <c r="L10">
        <v>3</v>
      </c>
      <c r="M10">
        <v>1.52</v>
      </c>
      <c r="N10">
        <v>3</v>
      </c>
      <c r="O10">
        <v>1.52</v>
      </c>
      <c r="P10">
        <v>3</v>
      </c>
    </row>
    <row r="11" spans="1:16" x14ac:dyDescent="0.3">
      <c r="A11" s="3">
        <v>10</v>
      </c>
      <c r="B11" s="4">
        <v>28</v>
      </c>
      <c r="C11" s="5" t="s">
        <v>29</v>
      </c>
      <c r="D11" s="6" t="s">
        <v>16</v>
      </c>
      <c r="E11" s="4">
        <v>36.980600000000003</v>
      </c>
      <c r="F11" s="4">
        <v>-3.1953900000000002</v>
      </c>
      <c r="G11" t="s">
        <v>17</v>
      </c>
      <c r="H11">
        <v>3</v>
      </c>
      <c r="I11">
        <f t="shared" si="0"/>
        <v>337.5</v>
      </c>
      <c r="J11">
        <v>15</v>
      </c>
      <c r="K11">
        <v>0</v>
      </c>
      <c r="L11">
        <v>3</v>
      </c>
      <c r="M11">
        <v>1.52</v>
      </c>
      <c r="N11">
        <v>3</v>
      </c>
      <c r="O11">
        <v>1.52</v>
      </c>
      <c r="P11">
        <v>3</v>
      </c>
    </row>
    <row r="12" spans="1:16" x14ac:dyDescent="0.3">
      <c r="A12" s="3">
        <v>11</v>
      </c>
      <c r="B12" s="4">
        <v>31</v>
      </c>
      <c r="C12" s="5" t="s">
        <v>30</v>
      </c>
      <c r="D12" s="7" t="s">
        <v>28</v>
      </c>
      <c r="E12" s="4">
        <v>0</v>
      </c>
      <c r="F12" s="4">
        <v>20.801600000000001</v>
      </c>
      <c r="G12" t="s">
        <v>20</v>
      </c>
      <c r="H12">
        <v>3</v>
      </c>
      <c r="I12">
        <f t="shared" si="0"/>
        <v>937.5</v>
      </c>
      <c r="J12">
        <v>25</v>
      </c>
      <c r="K12">
        <v>1</v>
      </c>
      <c r="L12">
        <v>3</v>
      </c>
      <c r="M12">
        <v>1.52</v>
      </c>
      <c r="N12">
        <v>3</v>
      </c>
      <c r="O12">
        <v>1.52</v>
      </c>
      <c r="P12">
        <v>3</v>
      </c>
    </row>
    <row r="13" spans="1:16" x14ac:dyDescent="0.3">
      <c r="A13" s="3">
        <v>12</v>
      </c>
      <c r="B13" s="4">
        <v>32</v>
      </c>
      <c r="C13" s="5" t="s">
        <v>31</v>
      </c>
      <c r="D13" s="6" t="s">
        <v>16</v>
      </c>
      <c r="E13" s="4">
        <v>36.272300000000001</v>
      </c>
      <c r="F13" s="4">
        <v>-3.09951</v>
      </c>
      <c r="G13" t="s">
        <v>20</v>
      </c>
      <c r="H13">
        <v>3</v>
      </c>
      <c r="I13">
        <f t="shared" si="0"/>
        <v>337.5</v>
      </c>
      <c r="J13">
        <v>15</v>
      </c>
      <c r="K13">
        <v>0</v>
      </c>
      <c r="L13">
        <v>3</v>
      </c>
      <c r="M13">
        <v>1.52</v>
      </c>
      <c r="N13">
        <v>3</v>
      </c>
      <c r="O13">
        <v>1.52</v>
      </c>
      <c r="P13">
        <v>3</v>
      </c>
    </row>
    <row r="14" spans="1:16" x14ac:dyDescent="0.3">
      <c r="A14" s="3">
        <v>13</v>
      </c>
      <c r="B14" s="4">
        <v>11</v>
      </c>
      <c r="C14" s="5" t="s">
        <v>32</v>
      </c>
      <c r="D14" s="7" t="s">
        <v>23</v>
      </c>
      <c r="E14" s="8">
        <v>0</v>
      </c>
      <c r="F14" s="8">
        <v>21.625499999999999</v>
      </c>
      <c r="G14" t="s">
        <v>17</v>
      </c>
      <c r="H14">
        <v>4</v>
      </c>
      <c r="I14">
        <f t="shared" si="0"/>
        <v>1250</v>
      </c>
      <c r="J14">
        <v>25</v>
      </c>
      <c r="K14">
        <v>1</v>
      </c>
      <c r="L14">
        <v>3</v>
      </c>
      <c r="M14">
        <v>1.52</v>
      </c>
      <c r="N14">
        <v>3</v>
      </c>
      <c r="O14">
        <v>1.52</v>
      </c>
      <c r="P14">
        <v>3</v>
      </c>
    </row>
    <row r="15" spans="1:16" x14ac:dyDescent="0.3">
      <c r="A15" s="3">
        <v>14</v>
      </c>
      <c r="B15" s="4">
        <v>12</v>
      </c>
      <c r="C15" s="5" t="s">
        <v>33</v>
      </c>
      <c r="D15" s="6" t="s">
        <v>16</v>
      </c>
      <c r="E15" s="8">
        <v>46</v>
      </c>
      <c r="F15" s="8">
        <v>0</v>
      </c>
      <c r="G15" t="s">
        <v>17</v>
      </c>
      <c r="H15">
        <v>4</v>
      </c>
      <c r="I15">
        <f t="shared" si="0"/>
        <v>450</v>
      </c>
      <c r="J15">
        <v>15</v>
      </c>
      <c r="K15">
        <v>0</v>
      </c>
      <c r="L15">
        <v>3</v>
      </c>
      <c r="M15">
        <v>1.52</v>
      </c>
      <c r="N15">
        <v>3</v>
      </c>
      <c r="O15">
        <v>1.52</v>
      </c>
      <c r="P15">
        <v>3</v>
      </c>
    </row>
    <row r="16" spans="1:16" x14ac:dyDescent="0.3">
      <c r="A16" s="3">
        <v>15</v>
      </c>
      <c r="B16" s="4">
        <v>15</v>
      </c>
      <c r="C16" s="5" t="s">
        <v>34</v>
      </c>
      <c r="D16" s="7" t="s">
        <v>23</v>
      </c>
      <c r="E16" s="8">
        <v>0</v>
      </c>
      <c r="F16" s="8">
        <v>17.414899999999999</v>
      </c>
      <c r="G16" t="s">
        <v>20</v>
      </c>
      <c r="H16">
        <v>4</v>
      </c>
      <c r="I16">
        <f t="shared" si="0"/>
        <v>1250</v>
      </c>
      <c r="J16">
        <v>25</v>
      </c>
      <c r="K16">
        <v>1</v>
      </c>
      <c r="L16">
        <v>3</v>
      </c>
      <c r="M16">
        <v>1.52</v>
      </c>
      <c r="N16">
        <v>3</v>
      </c>
      <c r="O16">
        <v>1.52</v>
      </c>
      <c r="P16">
        <v>3</v>
      </c>
    </row>
    <row r="17" spans="1:16" x14ac:dyDescent="0.3">
      <c r="A17" s="3">
        <v>16</v>
      </c>
      <c r="B17" s="4">
        <v>16</v>
      </c>
      <c r="C17" s="5" t="s">
        <v>35</v>
      </c>
      <c r="D17" s="7" t="s">
        <v>23</v>
      </c>
      <c r="E17" s="8">
        <v>56.486399999999996</v>
      </c>
      <c r="F17" s="8">
        <v>0.55600000000000005</v>
      </c>
      <c r="G17" t="s">
        <v>20</v>
      </c>
      <c r="H17">
        <v>4</v>
      </c>
      <c r="I17">
        <f t="shared" si="0"/>
        <v>450</v>
      </c>
      <c r="J17">
        <v>15</v>
      </c>
      <c r="K17">
        <v>1</v>
      </c>
      <c r="L17">
        <v>3</v>
      </c>
      <c r="M17">
        <v>1.52</v>
      </c>
      <c r="N17">
        <v>3</v>
      </c>
      <c r="O17">
        <v>1.52</v>
      </c>
      <c r="P17">
        <v>3</v>
      </c>
    </row>
    <row r="18" spans="1:16" x14ac:dyDescent="0.3">
      <c r="A18" s="3">
        <v>17</v>
      </c>
      <c r="B18" s="4">
        <v>17</v>
      </c>
      <c r="C18" s="5" t="s">
        <v>36</v>
      </c>
      <c r="D18" s="6" t="s">
        <v>16</v>
      </c>
      <c r="E18" s="8">
        <v>31.775299999999998</v>
      </c>
      <c r="F18" s="4">
        <v>-4.7418199999999997</v>
      </c>
      <c r="G18" t="s">
        <v>17</v>
      </c>
      <c r="H18">
        <v>1</v>
      </c>
      <c r="I18">
        <f t="shared" si="0"/>
        <v>312.5</v>
      </c>
      <c r="J18">
        <v>25</v>
      </c>
      <c r="K18">
        <v>0</v>
      </c>
      <c r="L18">
        <v>6</v>
      </c>
      <c r="M18">
        <v>1.52</v>
      </c>
      <c r="N18">
        <v>6</v>
      </c>
      <c r="O18">
        <v>0</v>
      </c>
      <c r="P18">
        <v>0</v>
      </c>
    </row>
    <row r="19" spans="1:16" x14ac:dyDescent="0.3">
      <c r="A19" s="3">
        <v>18</v>
      </c>
      <c r="B19" s="4">
        <v>18</v>
      </c>
      <c r="C19" s="5" t="s">
        <v>37</v>
      </c>
      <c r="D19" s="6" t="s">
        <v>16</v>
      </c>
      <c r="E19" s="4">
        <v>8.8757999999999999</v>
      </c>
      <c r="F19" s="4">
        <v>-5.1988899999999996</v>
      </c>
      <c r="G19" t="s">
        <v>17</v>
      </c>
      <c r="H19">
        <v>1</v>
      </c>
      <c r="I19">
        <f t="shared" si="0"/>
        <v>112.5</v>
      </c>
      <c r="J19">
        <v>15</v>
      </c>
      <c r="K19">
        <v>0</v>
      </c>
      <c r="L19">
        <v>6</v>
      </c>
      <c r="M19">
        <v>1.52</v>
      </c>
      <c r="N19">
        <v>6</v>
      </c>
      <c r="O19">
        <v>0</v>
      </c>
      <c r="P19">
        <v>0</v>
      </c>
    </row>
    <row r="20" spans="1:16" x14ac:dyDescent="0.3">
      <c r="A20" s="3">
        <v>19</v>
      </c>
      <c r="B20" s="4">
        <v>21</v>
      </c>
      <c r="C20" s="5" t="s">
        <v>38</v>
      </c>
      <c r="D20" s="6" t="s">
        <v>16</v>
      </c>
      <c r="E20" s="4">
        <v>36.8005</v>
      </c>
      <c r="F20" s="4">
        <v>-0.96977599999999997</v>
      </c>
      <c r="G20" t="s">
        <v>20</v>
      </c>
      <c r="H20">
        <v>1</v>
      </c>
      <c r="I20">
        <f t="shared" si="0"/>
        <v>312.5</v>
      </c>
      <c r="J20">
        <v>25</v>
      </c>
      <c r="K20">
        <v>0</v>
      </c>
      <c r="L20">
        <v>6</v>
      </c>
      <c r="M20">
        <v>1.52</v>
      </c>
      <c r="N20">
        <v>6</v>
      </c>
      <c r="O20">
        <v>0</v>
      </c>
      <c r="P20">
        <v>0</v>
      </c>
    </row>
    <row r="21" spans="1:16" x14ac:dyDescent="0.3">
      <c r="A21" s="3">
        <v>20</v>
      </c>
      <c r="B21" s="4">
        <v>22</v>
      </c>
      <c r="C21" s="5" t="s">
        <v>39</v>
      </c>
      <c r="D21" s="6" t="s">
        <v>16</v>
      </c>
      <c r="E21" s="4">
        <v>7.2487000000000004</v>
      </c>
      <c r="F21" s="4">
        <v>-3.1341700000000001</v>
      </c>
      <c r="G21" t="s">
        <v>20</v>
      </c>
      <c r="H21">
        <v>1</v>
      </c>
      <c r="I21">
        <f t="shared" si="0"/>
        <v>112.5</v>
      </c>
      <c r="J21">
        <v>15</v>
      </c>
      <c r="K21">
        <v>0</v>
      </c>
      <c r="L21">
        <v>6</v>
      </c>
      <c r="M21">
        <v>1.52</v>
      </c>
      <c r="N21">
        <v>6</v>
      </c>
      <c r="O21">
        <v>0</v>
      </c>
      <c r="P21">
        <v>0</v>
      </c>
    </row>
    <row r="22" spans="1:16" x14ac:dyDescent="0.3">
      <c r="A22" s="3">
        <v>21</v>
      </c>
      <c r="B22" s="4">
        <v>1</v>
      </c>
      <c r="C22" s="5" t="s">
        <v>40</v>
      </c>
      <c r="D22" s="7" t="s">
        <v>23</v>
      </c>
      <c r="E22" s="8">
        <v>0</v>
      </c>
      <c r="F22" s="8" t="s">
        <v>41</v>
      </c>
      <c r="G22" t="s">
        <v>17</v>
      </c>
      <c r="H22">
        <v>2</v>
      </c>
      <c r="I22">
        <f t="shared" si="0"/>
        <v>625</v>
      </c>
      <c r="J22">
        <v>25</v>
      </c>
      <c r="K22">
        <v>1</v>
      </c>
      <c r="L22">
        <v>6</v>
      </c>
      <c r="M22">
        <v>1.52</v>
      </c>
      <c r="N22">
        <v>6</v>
      </c>
      <c r="O22">
        <v>0</v>
      </c>
      <c r="P22">
        <v>0</v>
      </c>
    </row>
    <row r="23" spans="1:16" x14ac:dyDescent="0.3">
      <c r="A23" s="3">
        <v>22</v>
      </c>
      <c r="B23" s="4">
        <v>2</v>
      </c>
      <c r="C23" s="5" t="s">
        <v>42</v>
      </c>
      <c r="D23" s="6" t="s">
        <v>16</v>
      </c>
      <c r="E23" s="8">
        <v>26.443200000000001</v>
      </c>
      <c r="F23" s="8">
        <v>0</v>
      </c>
      <c r="G23" t="s">
        <v>17</v>
      </c>
      <c r="H23">
        <v>2</v>
      </c>
      <c r="I23">
        <f t="shared" si="0"/>
        <v>225</v>
      </c>
      <c r="J23">
        <v>15</v>
      </c>
      <c r="K23">
        <v>0</v>
      </c>
      <c r="L23">
        <v>6</v>
      </c>
      <c r="M23">
        <v>1.52</v>
      </c>
      <c r="N23">
        <v>6</v>
      </c>
      <c r="O23">
        <v>0</v>
      </c>
      <c r="P23">
        <v>0</v>
      </c>
    </row>
    <row r="24" spans="1:16" x14ac:dyDescent="0.3">
      <c r="A24" s="3">
        <v>23</v>
      </c>
      <c r="B24" s="4">
        <v>5</v>
      </c>
      <c r="C24" s="5" t="s">
        <v>43</v>
      </c>
      <c r="D24" s="7" t="s">
        <v>23</v>
      </c>
      <c r="E24" s="8">
        <v>0</v>
      </c>
      <c r="F24" s="8">
        <v>14.1296</v>
      </c>
      <c r="G24" t="s">
        <v>20</v>
      </c>
      <c r="H24">
        <v>2</v>
      </c>
      <c r="I24">
        <f t="shared" si="0"/>
        <v>625</v>
      </c>
      <c r="J24">
        <v>25</v>
      </c>
      <c r="K24">
        <v>1</v>
      </c>
      <c r="L24">
        <v>6</v>
      </c>
      <c r="M24">
        <v>1.52</v>
      </c>
      <c r="N24">
        <v>6</v>
      </c>
      <c r="O24">
        <v>0</v>
      </c>
      <c r="P24">
        <v>0</v>
      </c>
    </row>
    <row r="25" spans="1:16" x14ac:dyDescent="0.3">
      <c r="A25" s="3">
        <v>24</v>
      </c>
      <c r="B25" s="4">
        <v>6</v>
      </c>
      <c r="C25" s="5" t="s">
        <v>44</v>
      </c>
      <c r="D25" s="6" t="s">
        <v>16</v>
      </c>
      <c r="E25" s="8">
        <v>21.331800000000001</v>
      </c>
      <c r="F25" s="8">
        <v>-2.03424</v>
      </c>
      <c r="G25" t="s">
        <v>20</v>
      </c>
      <c r="H25">
        <v>2</v>
      </c>
      <c r="I25">
        <f t="shared" si="0"/>
        <v>225</v>
      </c>
      <c r="J25">
        <v>15</v>
      </c>
      <c r="K25">
        <v>0</v>
      </c>
      <c r="L25">
        <v>6</v>
      </c>
      <c r="M25">
        <v>1.52</v>
      </c>
      <c r="N25">
        <v>6</v>
      </c>
      <c r="O25">
        <v>0</v>
      </c>
      <c r="P25">
        <v>0</v>
      </c>
    </row>
    <row r="26" spans="1:16" x14ac:dyDescent="0.3">
      <c r="A26" s="3">
        <v>25</v>
      </c>
      <c r="B26" s="4">
        <v>19</v>
      </c>
      <c r="C26" s="5" t="s">
        <v>45</v>
      </c>
      <c r="D26" s="7" t="s">
        <v>28</v>
      </c>
      <c r="E26" s="4">
        <v>0</v>
      </c>
      <c r="F26" s="4">
        <v>19.9054</v>
      </c>
      <c r="G26" t="s">
        <v>17</v>
      </c>
      <c r="H26">
        <v>3</v>
      </c>
      <c r="I26">
        <f t="shared" si="0"/>
        <v>937.5</v>
      </c>
      <c r="J26">
        <v>25</v>
      </c>
      <c r="K26">
        <v>1</v>
      </c>
      <c r="L26">
        <v>6</v>
      </c>
      <c r="M26">
        <v>1.52</v>
      </c>
      <c r="N26">
        <v>6</v>
      </c>
      <c r="O26">
        <v>0</v>
      </c>
      <c r="P26">
        <v>0</v>
      </c>
    </row>
    <row r="27" spans="1:16" x14ac:dyDescent="0.3">
      <c r="A27" s="3">
        <v>26</v>
      </c>
      <c r="B27" s="4">
        <v>20</v>
      </c>
      <c r="C27" s="5" t="s">
        <v>46</v>
      </c>
      <c r="D27" s="6" t="s">
        <v>16</v>
      </c>
      <c r="E27" s="4">
        <v>41.773299999999999</v>
      </c>
      <c r="F27" s="4">
        <v>-1.41398</v>
      </c>
      <c r="G27" t="s">
        <v>17</v>
      </c>
      <c r="H27">
        <v>3</v>
      </c>
      <c r="I27">
        <f t="shared" si="0"/>
        <v>337.5</v>
      </c>
      <c r="J27">
        <v>15</v>
      </c>
      <c r="K27">
        <v>0</v>
      </c>
      <c r="L27">
        <v>6</v>
      </c>
      <c r="M27">
        <v>1.52</v>
      </c>
      <c r="N27">
        <v>6</v>
      </c>
      <c r="O27">
        <v>0</v>
      </c>
      <c r="P27">
        <v>0</v>
      </c>
    </row>
    <row r="28" spans="1:16" x14ac:dyDescent="0.3">
      <c r="A28" s="3">
        <v>27</v>
      </c>
      <c r="B28" s="4">
        <v>23</v>
      </c>
      <c r="C28" s="5" t="s">
        <v>47</v>
      </c>
      <c r="D28" s="7" t="s">
        <v>28</v>
      </c>
      <c r="E28" s="4">
        <v>0</v>
      </c>
      <c r="F28" s="4">
        <v>18.2575</v>
      </c>
      <c r="G28" t="s">
        <v>20</v>
      </c>
      <c r="H28">
        <v>3</v>
      </c>
      <c r="I28">
        <f t="shared" si="0"/>
        <v>937.5</v>
      </c>
      <c r="J28">
        <v>25</v>
      </c>
      <c r="K28">
        <v>1</v>
      </c>
      <c r="L28">
        <v>6</v>
      </c>
      <c r="M28">
        <v>1.52</v>
      </c>
      <c r="N28">
        <v>6</v>
      </c>
      <c r="O28">
        <v>0</v>
      </c>
      <c r="P28">
        <v>0</v>
      </c>
    </row>
    <row r="29" spans="1:16" x14ac:dyDescent="0.3">
      <c r="A29" s="3">
        <v>28</v>
      </c>
      <c r="B29" s="4">
        <v>24</v>
      </c>
      <c r="C29" s="9" t="s">
        <v>48</v>
      </c>
      <c r="D29" s="7" t="s">
        <v>28</v>
      </c>
      <c r="E29" s="4">
        <v>0</v>
      </c>
      <c r="F29" s="4">
        <v>18.016400000000001</v>
      </c>
      <c r="G29" t="s">
        <v>20</v>
      </c>
      <c r="H29">
        <v>3</v>
      </c>
      <c r="I29">
        <f t="shared" si="0"/>
        <v>337.5</v>
      </c>
      <c r="J29">
        <v>15</v>
      </c>
      <c r="K29">
        <v>1</v>
      </c>
      <c r="L29">
        <v>6</v>
      </c>
      <c r="M29">
        <v>1.52</v>
      </c>
      <c r="N29">
        <v>6</v>
      </c>
      <c r="O29">
        <v>0</v>
      </c>
      <c r="P29">
        <v>0</v>
      </c>
    </row>
    <row r="30" spans="1:16" x14ac:dyDescent="0.3">
      <c r="A30" s="3">
        <v>29</v>
      </c>
      <c r="B30" s="4">
        <v>3</v>
      </c>
      <c r="C30" s="5" t="s">
        <v>49</v>
      </c>
      <c r="D30" s="7" t="s">
        <v>23</v>
      </c>
      <c r="E30" s="8">
        <v>0</v>
      </c>
      <c r="F30" s="8">
        <v>21.499700000000001</v>
      </c>
      <c r="G30" t="s">
        <v>17</v>
      </c>
      <c r="H30">
        <v>4</v>
      </c>
      <c r="I30">
        <f t="shared" si="0"/>
        <v>1250</v>
      </c>
      <c r="J30">
        <v>25</v>
      </c>
      <c r="K30">
        <v>1</v>
      </c>
      <c r="L30">
        <v>6</v>
      </c>
      <c r="M30">
        <v>1.52</v>
      </c>
      <c r="N30">
        <v>6</v>
      </c>
      <c r="O30">
        <v>0</v>
      </c>
      <c r="P30">
        <v>0</v>
      </c>
    </row>
    <row r="31" spans="1:16" x14ac:dyDescent="0.3">
      <c r="A31" s="3">
        <v>30</v>
      </c>
      <c r="B31" s="4">
        <v>4</v>
      </c>
      <c r="C31" s="5" t="s">
        <v>50</v>
      </c>
      <c r="D31" s="7" t="s">
        <v>23</v>
      </c>
      <c r="E31" s="8">
        <v>0</v>
      </c>
      <c r="F31" s="8">
        <v>5.0999999999999996</v>
      </c>
      <c r="G31" t="s">
        <v>17</v>
      </c>
      <c r="H31">
        <v>4</v>
      </c>
      <c r="I31">
        <f t="shared" si="0"/>
        <v>450</v>
      </c>
      <c r="J31">
        <v>15</v>
      </c>
      <c r="K31">
        <v>1</v>
      </c>
      <c r="L31">
        <v>6</v>
      </c>
      <c r="M31">
        <v>1.52</v>
      </c>
      <c r="N31">
        <v>6</v>
      </c>
      <c r="O31">
        <v>0</v>
      </c>
      <c r="P31">
        <v>0</v>
      </c>
    </row>
    <row r="32" spans="1:16" x14ac:dyDescent="0.3">
      <c r="A32" s="3">
        <v>31</v>
      </c>
      <c r="B32" s="4">
        <v>7</v>
      </c>
      <c r="C32" s="5" t="s">
        <v>51</v>
      </c>
      <c r="D32" s="7" t="s">
        <v>23</v>
      </c>
      <c r="E32" s="8">
        <v>0</v>
      </c>
      <c r="F32" s="10">
        <v>19.8019</v>
      </c>
      <c r="G32" t="s">
        <v>20</v>
      </c>
      <c r="H32">
        <v>4</v>
      </c>
      <c r="I32">
        <f t="shared" si="0"/>
        <v>1250</v>
      </c>
      <c r="J32">
        <v>25</v>
      </c>
      <c r="K32">
        <v>1</v>
      </c>
      <c r="L32">
        <v>6</v>
      </c>
      <c r="M32">
        <v>1.52</v>
      </c>
      <c r="N32">
        <v>6</v>
      </c>
      <c r="O32">
        <v>0</v>
      </c>
      <c r="P32">
        <v>0</v>
      </c>
    </row>
    <row r="33" spans="1:16" x14ac:dyDescent="0.3">
      <c r="A33" s="3">
        <v>32</v>
      </c>
      <c r="B33" s="4">
        <v>8</v>
      </c>
      <c r="C33" s="5" t="s">
        <v>52</v>
      </c>
      <c r="D33" s="7" t="s">
        <v>23</v>
      </c>
      <c r="E33" s="10">
        <v>0</v>
      </c>
      <c r="F33" s="10">
        <v>4.3779899999999996</v>
      </c>
      <c r="G33" t="s">
        <v>20</v>
      </c>
      <c r="H33">
        <v>4</v>
      </c>
      <c r="I33">
        <f t="shared" si="0"/>
        <v>450</v>
      </c>
      <c r="J33">
        <v>15</v>
      </c>
      <c r="K33">
        <v>1</v>
      </c>
      <c r="L33">
        <v>6</v>
      </c>
      <c r="M33">
        <v>1.52</v>
      </c>
      <c r="N33">
        <v>6</v>
      </c>
      <c r="O33">
        <v>0</v>
      </c>
      <c r="P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19D57-D63E-4AB9-854B-4762AB842C7D}">
  <dimension ref="A1:L33"/>
  <sheetViews>
    <sheetView tabSelected="1" workbookViewId="0">
      <selection activeCell="P12" sqref="P12"/>
    </sheetView>
  </sheetViews>
  <sheetFormatPr defaultRowHeight="14.4" x14ac:dyDescent="0.3"/>
  <cols>
    <col min="1" max="1" width="5.6640625" bestFit="1" customWidth="1"/>
    <col min="2" max="2" width="9.88671875" bestFit="1" customWidth="1"/>
    <col min="3" max="3" width="7.109375" bestFit="1" customWidth="1"/>
    <col min="4" max="4" width="5.21875" bestFit="1" customWidth="1"/>
    <col min="5" max="5" width="6" bestFit="1" customWidth="1"/>
    <col min="6" max="6" width="7.33203125" bestFit="1" customWidth="1"/>
    <col min="7" max="7" width="16.109375" bestFit="1" customWidth="1"/>
    <col min="8" max="8" width="12.21875" bestFit="1" customWidth="1"/>
    <col min="9" max="9" width="7.21875" bestFit="1" customWidth="1"/>
    <col min="10" max="10" width="8.33203125" bestFit="1" customWidth="1"/>
    <col min="11" max="11" width="7.33203125" bestFit="1" customWidth="1"/>
    <col min="12" max="12" width="8" bestFit="1" customWidth="1"/>
  </cols>
  <sheetData>
    <row r="1" spans="1:12" x14ac:dyDescent="0.3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3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 x14ac:dyDescent="0.3">
      <c r="A2" s="3">
        <v>1</v>
      </c>
      <c r="B2" s="4">
        <v>25</v>
      </c>
      <c r="C2" s="3" t="s">
        <v>17</v>
      </c>
      <c r="D2" s="3">
        <v>1</v>
      </c>
      <c r="E2" s="3">
        <v>312.5</v>
      </c>
      <c r="F2" s="3">
        <v>25</v>
      </c>
      <c r="G2" s="3">
        <v>0</v>
      </c>
      <c r="H2" s="3">
        <v>3</v>
      </c>
      <c r="I2" s="3">
        <v>1.52</v>
      </c>
      <c r="J2" s="3">
        <v>3</v>
      </c>
      <c r="K2" s="3">
        <v>1.52</v>
      </c>
      <c r="L2" s="3">
        <v>3</v>
      </c>
    </row>
    <row r="3" spans="1:12" x14ac:dyDescent="0.3">
      <c r="A3" s="3">
        <v>2</v>
      </c>
      <c r="B3" s="4">
        <v>26</v>
      </c>
      <c r="C3" s="3" t="s">
        <v>17</v>
      </c>
      <c r="D3" s="3">
        <v>1</v>
      </c>
      <c r="E3" s="3">
        <v>112.5</v>
      </c>
      <c r="F3" s="3">
        <v>15</v>
      </c>
      <c r="G3" s="3">
        <v>0</v>
      </c>
      <c r="H3" s="3">
        <v>3</v>
      </c>
      <c r="I3" s="3">
        <v>1.52</v>
      </c>
      <c r="J3" s="3">
        <v>3</v>
      </c>
      <c r="K3" s="3">
        <v>1.52</v>
      </c>
      <c r="L3" s="3">
        <v>3</v>
      </c>
    </row>
    <row r="4" spans="1:12" x14ac:dyDescent="0.3">
      <c r="A4" s="3">
        <v>3</v>
      </c>
      <c r="B4" s="4">
        <v>29</v>
      </c>
      <c r="C4" s="3" t="s">
        <v>20</v>
      </c>
      <c r="D4" s="3">
        <v>1</v>
      </c>
      <c r="E4" s="3">
        <v>312.5</v>
      </c>
      <c r="F4" s="3">
        <v>25</v>
      </c>
      <c r="G4" s="3">
        <v>0</v>
      </c>
      <c r="H4" s="3">
        <v>3</v>
      </c>
      <c r="I4" s="3">
        <v>1.52</v>
      </c>
      <c r="J4" s="3">
        <v>3</v>
      </c>
      <c r="K4" s="3">
        <v>1.52</v>
      </c>
      <c r="L4" s="3">
        <v>3</v>
      </c>
    </row>
    <row r="5" spans="1:12" x14ac:dyDescent="0.3">
      <c r="A5" s="3">
        <v>4</v>
      </c>
      <c r="B5" s="4">
        <v>30</v>
      </c>
      <c r="C5" s="3" t="s">
        <v>20</v>
      </c>
      <c r="D5" s="3">
        <v>1</v>
      </c>
      <c r="E5" s="3">
        <v>112.5</v>
      </c>
      <c r="F5" s="3">
        <v>15</v>
      </c>
      <c r="G5" s="3">
        <v>0</v>
      </c>
      <c r="H5" s="3">
        <v>3</v>
      </c>
      <c r="I5" s="3">
        <v>1.52</v>
      </c>
      <c r="J5" s="3">
        <v>3</v>
      </c>
      <c r="K5" s="3">
        <v>1.52</v>
      </c>
      <c r="L5" s="3">
        <v>3</v>
      </c>
    </row>
    <row r="6" spans="1:12" x14ac:dyDescent="0.3">
      <c r="A6" s="3">
        <v>5</v>
      </c>
      <c r="B6" s="4">
        <v>9</v>
      </c>
      <c r="C6" s="3" t="s">
        <v>17</v>
      </c>
      <c r="D6" s="3">
        <v>2</v>
      </c>
      <c r="E6" s="3">
        <v>625</v>
      </c>
      <c r="F6" s="3">
        <v>25</v>
      </c>
      <c r="G6" s="3">
        <v>1</v>
      </c>
      <c r="H6" s="3">
        <v>3</v>
      </c>
      <c r="I6" s="3">
        <v>1.52</v>
      </c>
      <c r="J6" s="3">
        <v>3</v>
      </c>
      <c r="K6" s="3">
        <v>1.52</v>
      </c>
      <c r="L6" s="3">
        <v>3</v>
      </c>
    </row>
    <row r="7" spans="1:12" x14ac:dyDescent="0.3">
      <c r="A7" s="3">
        <v>6</v>
      </c>
      <c r="B7" s="4">
        <v>10</v>
      </c>
      <c r="C7" s="3" t="s">
        <v>17</v>
      </c>
      <c r="D7" s="3">
        <v>2</v>
      </c>
      <c r="E7" s="3">
        <v>225</v>
      </c>
      <c r="F7" s="3">
        <v>15</v>
      </c>
      <c r="G7" s="3">
        <v>0</v>
      </c>
      <c r="H7" s="3">
        <v>3</v>
      </c>
      <c r="I7" s="3">
        <v>1.52</v>
      </c>
      <c r="J7" s="3">
        <v>3</v>
      </c>
      <c r="K7" s="3">
        <v>1.52</v>
      </c>
      <c r="L7" s="3">
        <v>3</v>
      </c>
    </row>
    <row r="8" spans="1:12" x14ac:dyDescent="0.3">
      <c r="A8" s="3">
        <v>7</v>
      </c>
      <c r="B8" s="4">
        <v>13</v>
      </c>
      <c r="C8" s="3" t="s">
        <v>20</v>
      </c>
      <c r="D8" s="3">
        <v>2</v>
      </c>
      <c r="E8" s="3">
        <v>625</v>
      </c>
      <c r="F8" s="3">
        <v>25</v>
      </c>
      <c r="G8" s="3">
        <v>1</v>
      </c>
      <c r="H8" s="3">
        <v>3</v>
      </c>
      <c r="I8" s="3">
        <v>1.52</v>
      </c>
      <c r="J8" s="3">
        <v>3</v>
      </c>
      <c r="K8" s="3">
        <v>1.52</v>
      </c>
      <c r="L8" s="3">
        <v>3</v>
      </c>
    </row>
    <row r="9" spans="1:12" x14ac:dyDescent="0.3">
      <c r="A9" s="3">
        <v>8</v>
      </c>
      <c r="B9" s="4">
        <v>14</v>
      </c>
      <c r="C9" s="3" t="s">
        <v>20</v>
      </c>
      <c r="D9" s="3">
        <v>2</v>
      </c>
      <c r="E9" s="3">
        <v>225</v>
      </c>
      <c r="F9" s="3">
        <v>15</v>
      </c>
      <c r="G9" s="3">
        <v>0</v>
      </c>
      <c r="H9" s="3">
        <v>3</v>
      </c>
      <c r="I9" s="3">
        <v>1.52</v>
      </c>
      <c r="J9" s="3">
        <v>3</v>
      </c>
      <c r="K9" s="3">
        <v>1.52</v>
      </c>
      <c r="L9" s="3">
        <v>3</v>
      </c>
    </row>
    <row r="10" spans="1:12" x14ac:dyDescent="0.3">
      <c r="A10" s="3">
        <v>9</v>
      </c>
      <c r="B10" s="4">
        <v>27</v>
      </c>
      <c r="C10" s="3" t="s">
        <v>17</v>
      </c>
      <c r="D10" s="3">
        <v>3</v>
      </c>
      <c r="E10" s="3">
        <v>937.5</v>
      </c>
      <c r="F10" s="3">
        <v>25</v>
      </c>
      <c r="G10" s="3">
        <v>1</v>
      </c>
      <c r="H10" s="3">
        <v>3</v>
      </c>
      <c r="I10" s="3">
        <v>1.52</v>
      </c>
      <c r="J10" s="3">
        <v>3</v>
      </c>
      <c r="K10" s="3">
        <v>1.52</v>
      </c>
      <c r="L10" s="3">
        <v>3</v>
      </c>
    </row>
    <row r="11" spans="1:12" x14ac:dyDescent="0.3">
      <c r="A11" s="3">
        <v>10</v>
      </c>
      <c r="B11" s="4">
        <v>28</v>
      </c>
      <c r="C11" s="3" t="s">
        <v>17</v>
      </c>
      <c r="D11" s="3">
        <v>3</v>
      </c>
      <c r="E11" s="3">
        <v>337.5</v>
      </c>
      <c r="F11" s="3">
        <v>15</v>
      </c>
      <c r="G11" s="3">
        <v>0</v>
      </c>
      <c r="H11" s="3">
        <v>3</v>
      </c>
      <c r="I11" s="3">
        <v>1.52</v>
      </c>
      <c r="J11" s="3">
        <v>3</v>
      </c>
      <c r="K11" s="3">
        <v>1.52</v>
      </c>
      <c r="L11" s="3">
        <v>3</v>
      </c>
    </row>
    <row r="12" spans="1:12" x14ac:dyDescent="0.3">
      <c r="A12" s="3">
        <v>11</v>
      </c>
      <c r="B12" s="4">
        <v>31</v>
      </c>
      <c r="C12" s="3" t="s">
        <v>20</v>
      </c>
      <c r="D12" s="3">
        <v>3</v>
      </c>
      <c r="E12" s="3">
        <v>937.5</v>
      </c>
      <c r="F12" s="3">
        <v>25</v>
      </c>
      <c r="G12" s="3">
        <v>1</v>
      </c>
      <c r="H12" s="3">
        <v>3</v>
      </c>
      <c r="I12" s="3">
        <v>1.52</v>
      </c>
      <c r="J12" s="3">
        <v>3</v>
      </c>
      <c r="K12" s="3">
        <v>1.52</v>
      </c>
      <c r="L12" s="3">
        <v>3</v>
      </c>
    </row>
    <row r="13" spans="1:12" x14ac:dyDescent="0.3">
      <c r="A13" s="3">
        <v>12</v>
      </c>
      <c r="B13" s="4">
        <v>32</v>
      </c>
      <c r="C13" s="3" t="s">
        <v>20</v>
      </c>
      <c r="D13" s="3">
        <v>3</v>
      </c>
      <c r="E13" s="3">
        <v>337.5</v>
      </c>
      <c r="F13" s="3">
        <v>15</v>
      </c>
      <c r="G13" s="3">
        <v>0</v>
      </c>
      <c r="H13" s="3">
        <v>3</v>
      </c>
      <c r="I13" s="3">
        <v>1.52</v>
      </c>
      <c r="J13" s="3">
        <v>3</v>
      </c>
      <c r="K13" s="3">
        <v>1.52</v>
      </c>
      <c r="L13" s="3">
        <v>3</v>
      </c>
    </row>
    <row r="14" spans="1:12" x14ac:dyDescent="0.3">
      <c r="A14" s="3">
        <v>13</v>
      </c>
      <c r="B14" s="4">
        <v>11</v>
      </c>
      <c r="C14" s="3" t="s">
        <v>17</v>
      </c>
      <c r="D14" s="3">
        <v>4</v>
      </c>
      <c r="E14" s="3">
        <v>1250</v>
      </c>
      <c r="F14" s="3">
        <v>25</v>
      </c>
      <c r="G14" s="3">
        <v>1</v>
      </c>
      <c r="H14" s="3">
        <v>3</v>
      </c>
      <c r="I14" s="3">
        <v>1.52</v>
      </c>
      <c r="J14" s="3">
        <v>3</v>
      </c>
      <c r="K14" s="3">
        <v>1.52</v>
      </c>
      <c r="L14" s="3">
        <v>3</v>
      </c>
    </row>
    <row r="15" spans="1:12" x14ac:dyDescent="0.3">
      <c r="A15" s="3">
        <v>14</v>
      </c>
      <c r="B15" s="4">
        <v>12</v>
      </c>
      <c r="C15" s="3" t="s">
        <v>17</v>
      </c>
      <c r="D15" s="3">
        <v>4</v>
      </c>
      <c r="E15" s="3">
        <v>450</v>
      </c>
      <c r="F15" s="3">
        <v>15</v>
      </c>
      <c r="G15" s="3">
        <v>0</v>
      </c>
      <c r="H15" s="3">
        <v>3</v>
      </c>
      <c r="I15" s="3">
        <v>1.52</v>
      </c>
      <c r="J15" s="3">
        <v>3</v>
      </c>
      <c r="K15" s="3">
        <v>1.52</v>
      </c>
      <c r="L15" s="3">
        <v>3</v>
      </c>
    </row>
    <row r="16" spans="1:12" x14ac:dyDescent="0.3">
      <c r="A16" s="3">
        <v>15</v>
      </c>
      <c r="B16" s="4">
        <v>15</v>
      </c>
      <c r="C16" s="3" t="s">
        <v>20</v>
      </c>
      <c r="D16" s="3">
        <v>4</v>
      </c>
      <c r="E16" s="3">
        <v>1250</v>
      </c>
      <c r="F16" s="3">
        <v>25</v>
      </c>
      <c r="G16" s="3">
        <v>1</v>
      </c>
      <c r="H16" s="3">
        <v>3</v>
      </c>
      <c r="I16" s="3">
        <v>1.52</v>
      </c>
      <c r="J16" s="3">
        <v>3</v>
      </c>
      <c r="K16" s="3">
        <v>1.52</v>
      </c>
      <c r="L16" s="3">
        <v>3</v>
      </c>
    </row>
    <row r="17" spans="1:12" x14ac:dyDescent="0.3">
      <c r="A17" s="3">
        <v>16</v>
      </c>
      <c r="B17" s="4">
        <v>16</v>
      </c>
      <c r="C17" s="3" t="s">
        <v>20</v>
      </c>
      <c r="D17" s="3">
        <v>4</v>
      </c>
      <c r="E17" s="3">
        <v>450</v>
      </c>
      <c r="F17" s="3">
        <v>15</v>
      </c>
      <c r="G17" s="3">
        <v>1</v>
      </c>
      <c r="H17" s="3">
        <v>3</v>
      </c>
      <c r="I17" s="3">
        <v>1.52</v>
      </c>
      <c r="J17" s="3">
        <v>3</v>
      </c>
      <c r="K17" s="3">
        <v>1.52</v>
      </c>
      <c r="L17" s="3">
        <v>3</v>
      </c>
    </row>
    <row r="18" spans="1:12" x14ac:dyDescent="0.3">
      <c r="A18" s="3">
        <v>17</v>
      </c>
      <c r="B18" s="4">
        <v>17</v>
      </c>
      <c r="C18" s="3" t="s">
        <v>17</v>
      </c>
      <c r="D18" s="3">
        <v>1</v>
      </c>
      <c r="E18" s="3">
        <v>312.5</v>
      </c>
      <c r="F18" s="3">
        <v>25</v>
      </c>
      <c r="G18" s="3">
        <v>0</v>
      </c>
      <c r="H18" s="3">
        <v>6</v>
      </c>
      <c r="I18" s="3">
        <v>1.52</v>
      </c>
      <c r="J18" s="3">
        <v>6</v>
      </c>
      <c r="K18" s="3">
        <v>0</v>
      </c>
      <c r="L18" s="3">
        <v>0</v>
      </c>
    </row>
    <row r="19" spans="1:12" x14ac:dyDescent="0.3">
      <c r="A19" s="3">
        <v>18</v>
      </c>
      <c r="B19" s="4">
        <v>18</v>
      </c>
      <c r="C19" s="3" t="s">
        <v>17</v>
      </c>
      <c r="D19" s="3">
        <v>1</v>
      </c>
      <c r="E19" s="3">
        <v>112.5</v>
      </c>
      <c r="F19" s="3">
        <v>15</v>
      </c>
      <c r="G19" s="3">
        <v>0</v>
      </c>
      <c r="H19" s="3">
        <v>6</v>
      </c>
      <c r="I19" s="3">
        <v>1.52</v>
      </c>
      <c r="J19" s="3">
        <v>6</v>
      </c>
      <c r="K19" s="3">
        <v>0</v>
      </c>
      <c r="L19" s="3">
        <v>0</v>
      </c>
    </row>
    <row r="20" spans="1:12" x14ac:dyDescent="0.3">
      <c r="A20" s="3">
        <v>19</v>
      </c>
      <c r="B20" s="4">
        <v>21</v>
      </c>
      <c r="C20" s="3" t="s">
        <v>20</v>
      </c>
      <c r="D20" s="3">
        <v>1</v>
      </c>
      <c r="E20" s="3">
        <v>312.5</v>
      </c>
      <c r="F20" s="3">
        <v>25</v>
      </c>
      <c r="G20" s="3">
        <v>0</v>
      </c>
      <c r="H20" s="3">
        <v>6</v>
      </c>
      <c r="I20" s="3">
        <v>1.52</v>
      </c>
      <c r="J20" s="3">
        <v>6</v>
      </c>
      <c r="K20" s="3">
        <v>0</v>
      </c>
      <c r="L20" s="3">
        <v>0</v>
      </c>
    </row>
    <row r="21" spans="1:12" x14ac:dyDescent="0.3">
      <c r="A21" s="3">
        <v>20</v>
      </c>
      <c r="B21" s="4">
        <v>22</v>
      </c>
      <c r="C21" s="3" t="s">
        <v>20</v>
      </c>
      <c r="D21" s="3">
        <v>1</v>
      </c>
      <c r="E21" s="3">
        <v>112.5</v>
      </c>
      <c r="F21" s="3">
        <v>15</v>
      </c>
      <c r="G21" s="3">
        <v>0</v>
      </c>
      <c r="H21" s="3">
        <v>6</v>
      </c>
      <c r="I21" s="3">
        <v>1.52</v>
      </c>
      <c r="J21" s="3">
        <v>6</v>
      </c>
      <c r="K21" s="3">
        <v>0</v>
      </c>
      <c r="L21" s="3">
        <v>0</v>
      </c>
    </row>
    <row r="22" spans="1:12" x14ac:dyDescent="0.3">
      <c r="A22" s="3">
        <v>21</v>
      </c>
      <c r="B22" s="4">
        <v>1</v>
      </c>
      <c r="C22" s="3" t="s">
        <v>17</v>
      </c>
      <c r="D22" s="3">
        <v>2</v>
      </c>
      <c r="E22" s="3">
        <v>625</v>
      </c>
      <c r="F22" s="3">
        <v>25</v>
      </c>
      <c r="G22" s="3">
        <v>1</v>
      </c>
      <c r="H22" s="3">
        <v>6</v>
      </c>
      <c r="I22" s="3">
        <v>1.52</v>
      </c>
      <c r="J22" s="3">
        <v>6</v>
      </c>
      <c r="K22" s="3">
        <v>0</v>
      </c>
      <c r="L22" s="3">
        <v>0</v>
      </c>
    </row>
    <row r="23" spans="1:12" x14ac:dyDescent="0.3">
      <c r="A23" s="3">
        <v>22</v>
      </c>
      <c r="B23" s="4">
        <v>2</v>
      </c>
      <c r="C23" s="3" t="s">
        <v>17</v>
      </c>
      <c r="D23" s="3">
        <v>2</v>
      </c>
      <c r="E23" s="3">
        <v>225</v>
      </c>
      <c r="F23" s="3">
        <v>15</v>
      </c>
      <c r="G23" s="3">
        <v>0</v>
      </c>
      <c r="H23" s="3">
        <v>6</v>
      </c>
      <c r="I23" s="3">
        <v>1.52</v>
      </c>
      <c r="J23" s="3">
        <v>6</v>
      </c>
      <c r="K23" s="3">
        <v>0</v>
      </c>
      <c r="L23" s="3">
        <v>0</v>
      </c>
    </row>
    <row r="24" spans="1:12" x14ac:dyDescent="0.3">
      <c r="A24" s="3">
        <v>23</v>
      </c>
      <c r="B24" s="4">
        <v>5</v>
      </c>
      <c r="C24" s="3" t="s">
        <v>20</v>
      </c>
      <c r="D24" s="3">
        <v>2</v>
      </c>
      <c r="E24" s="3">
        <v>625</v>
      </c>
      <c r="F24" s="3">
        <v>25</v>
      </c>
      <c r="G24" s="3">
        <v>1</v>
      </c>
      <c r="H24" s="3">
        <v>6</v>
      </c>
      <c r="I24" s="3">
        <v>1.52</v>
      </c>
      <c r="J24" s="3">
        <v>6</v>
      </c>
      <c r="K24" s="3">
        <v>0</v>
      </c>
      <c r="L24" s="3">
        <v>0</v>
      </c>
    </row>
    <row r="25" spans="1:12" x14ac:dyDescent="0.3">
      <c r="A25" s="3">
        <v>24</v>
      </c>
      <c r="B25" s="4">
        <v>6</v>
      </c>
      <c r="C25" s="3" t="s">
        <v>20</v>
      </c>
      <c r="D25" s="3">
        <v>2</v>
      </c>
      <c r="E25" s="3">
        <v>225</v>
      </c>
      <c r="F25" s="3">
        <v>15</v>
      </c>
      <c r="G25" s="3">
        <v>0</v>
      </c>
      <c r="H25" s="3">
        <v>6</v>
      </c>
      <c r="I25" s="3">
        <v>1.52</v>
      </c>
      <c r="J25" s="3">
        <v>6</v>
      </c>
      <c r="K25" s="3">
        <v>0</v>
      </c>
      <c r="L25" s="3">
        <v>0</v>
      </c>
    </row>
    <row r="26" spans="1:12" x14ac:dyDescent="0.3">
      <c r="A26" s="3">
        <v>25</v>
      </c>
      <c r="B26" s="4">
        <v>19</v>
      </c>
      <c r="C26" s="3" t="s">
        <v>17</v>
      </c>
      <c r="D26" s="3">
        <v>3</v>
      </c>
      <c r="E26" s="3">
        <v>937.5</v>
      </c>
      <c r="F26" s="3">
        <v>25</v>
      </c>
      <c r="G26" s="3">
        <v>1</v>
      </c>
      <c r="H26" s="3">
        <v>6</v>
      </c>
      <c r="I26" s="3">
        <v>1.52</v>
      </c>
      <c r="J26" s="3">
        <v>6</v>
      </c>
      <c r="K26" s="3">
        <v>0</v>
      </c>
      <c r="L26" s="3">
        <v>0</v>
      </c>
    </row>
    <row r="27" spans="1:12" x14ac:dyDescent="0.3">
      <c r="A27" s="3">
        <v>26</v>
      </c>
      <c r="B27" s="4">
        <v>20</v>
      </c>
      <c r="C27" s="3" t="s">
        <v>17</v>
      </c>
      <c r="D27" s="3">
        <v>3</v>
      </c>
      <c r="E27" s="3">
        <v>337.5</v>
      </c>
      <c r="F27" s="3">
        <v>15</v>
      </c>
      <c r="G27" s="3">
        <v>0</v>
      </c>
      <c r="H27" s="3">
        <v>6</v>
      </c>
      <c r="I27" s="3">
        <v>1.52</v>
      </c>
      <c r="J27" s="3">
        <v>6</v>
      </c>
      <c r="K27" s="3">
        <v>0</v>
      </c>
      <c r="L27" s="3">
        <v>0</v>
      </c>
    </row>
    <row r="28" spans="1:12" x14ac:dyDescent="0.3">
      <c r="A28" s="3">
        <v>27</v>
      </c>
      <c r="B28" s="4">
        <v>23</v>
      </c>
      <c r="C28" s="3" t="s">
        <v>20</v>
      </c>
      <c r="D28" s="3">
        <v>3</v>
      </c>
      <c r="E28" s="3">
        <v>937.5</v>
      </c>
      <c r="F28" s="3">
        <v>25</v>
      </c>
      <c r="G28" s="3">
        <v>1</v>
      </c>
      <c r="H28" s="3">
        <v>6</v>
      </c>
      <c r="I28" s="3">
        <v>1.52</v>
      </c>
      <c r="J28" s="3">
        <v>6</v>
      </c>
      <c r="K28" s="3">
        <v>0</v>
      </c>
      <c r="L28" s="3">
        <v>0</v>
      </c>
    </row>
    <row r="29" spans="1:12" x14ac:dyDescent="0.3">
      <c r="A29" s="3">
        <v>28</v>
      </c>
      <c r="B29" s="4">
        <v>24</v>
      </c>
      <c r="C29" s="3" t="s">
        <v>20</v>
      </c>
      <c r="D29" s="3">
        <v>3</v>
      </c>
      <c r="E29" s="3">
        <v>337.5</v>
      </c>
      <c r="F29" s="3">
        <v>15</v>
      </c>
      <c r="G29" s="3">
        <v>1</v>
      </c>
      <c r="H29" s="3">
        <v>6</v>
      </c>
      <c r="I29" s="3">
        <v>1.52</v>
      </c>
      <c r="J29" s="3">
        <v>6</v>
      </c>
      <c r="K29" s="3">
        <v>0</v>
      </c>
      <c r="L29" s="3">
        <v>0</v>
      </c>
    </row>
    <row r="30" spans="1:12" x14ac:dyDescent="0.3">
      <c r="A30" s="3">
        <v>29</v>
      </c>
      <c r="B30" s="4">
        <v>3</v>
      </c>
      <c r="C30" s="3" t="s">
        <v>17</v>
      </c>
      <c r="D30" s="3">
        <v>4</v>
      </c>
      <c r="E30" s="3">
        <v>1250</v>
      </c>
      <c r="F30" s="3">
        <v>25</v>
      </c>
      <c r="G30" s="3">
        <v>1</v>
      </c>
      <c r="H30" s="3">
        <v>6</v>
      </c>
      <c r="I30" s="3">
        <v>1.52</v>
      </c>
      <c r="J30" s="3">
        <v>6</v>
      </c>
      <c r="K30" s="3">
        <v>0</v>
      </c>
      <c r="L30" s="3">
        <v>0</v>
      </c>
    </row>
    <row r="31" spans="1:12" x14ac:dyDescent="0.3">
      <c r="A31" s="3">
        <v>30</v>
      </c>
      <c r="B31" s="4">
        <v>4</v>
      </c>
      <c r="C31" s="3" t="s">
        <v>17</v>
      </c>
      <c r="D31" s="3">
        <v>4</v>
      </c>
      <c r="E31" s="3">
        <v>450</v>
      </c>
      <c r="F31" s="3">
        <v>15</v>
      </c>
      <c r="G31" s="3">
        <v>1</v>
      </c>
      <c r="H31" s="3">
        <v>6</v>
      </c>
      <c r="I31" s="3">
        <v>1.52</v>
      </c>
      <c r="J31" s="3">
        <v>6</v>
      </c>
      <c r="K31" s="3">
        <v>0</v>
      </c>
      <c r="L31" s="3">
        <v>0</v>
      </c>
    </row>
    <row r="32" spans="1:12" x14ac:dyDescent="0.3">
      <c r="A32" s="3">
        <v>31</v>
      </c>
      <c r="B32" s="4">
        <v>7</v>
      </c>
      <c r="C32" s="3" t="s">
        <v>20</v>
      </c>
      <c r="D32" s="3">
        <v>4</v>
      </c>
      <c r="E32" s="3">
        <v>1250</v>
      </c>
      <c r="F32" s="3">
        <v>25</v>
      </c>
      <c r="G32" s="3">
        <v>1</v>
      </c>
      <c r="H32" s="3">
        <v>6</v>
      </c>
      <c r="I32" s="3">
        <v>1.52</v>
      </c>
      <c r="J32" s="3">
        <v>6</v>
      </c>
      <c r="K32" s="3">
        <v>0</v>
      </c>
      <c r="L32" s="3">
        <v>0</v>
      </c>
    </row>
    <row r="33" spans="1:12" x14ac:dyDescent="0.3">
      <c r="A33" s="3">
        <v>32</v>
      </c>
      <c r="B33" s="4">
        <v>8</v>
      </c>
      <c r="C33" s="3" t="s">
        <v>20</v>
      </c>
      <c r="D33" s="3">
        <v>4</v>
      </c>
      <c r="E33" s="3">
        <v>450</v>
      </c>
      <c r="F33" s="3">
        <v>15</v>
      </c>
      <c r="G33" s="3">
        <v>1</v>
      </c>
      <c r="H33" s="3">
        <v>6</v>
      </c>
      <c r="I33" s="3">
        <v>1.52</v>
      </c>
      <c r="J33" s="3">
        <v>6</v>
      </c>
      <c r="K33" s="3">
        <v>0</v>
      </c>
      <c r="L3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Bhaisare</dc:creator>
  <cp:lastModifiedBy>Rajat Bhaisare</cp:lastModifiedBy>
  <dcterms:created xsi:type="dcterms:W3CDTF">2015-06-05T18:17:20Z</dcterms:created>
  <dcterms:modified xsi:type="dcterms:W3CDTF">2026-01-07T05:35:27Z</dcterms:modified>
</cp:coreProperties>
</file>